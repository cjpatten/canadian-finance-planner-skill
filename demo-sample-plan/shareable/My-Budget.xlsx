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come" sheetId="1" state="visible" r:id="rId1"/>
    <sheet xmlns:r="http://schemas.openxmlformats.org/officeDocument/2006/relationships" name="Expenses" sheetId="2" state="visible" r:id="rId2"/>
    <sheet xmlns:r="http://schemas.openxmlformats.org/officeDocument/2006/relationships" name="Debt Payoff" sheetId="3" state="visible" r:id="rId3"/>
    <sheet xmlns:r="http://schemas.openxmlformats.org/officeDocument/2006/relationships" name="Summa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0.0%"/>
    <numFmt numFmtId="166" formatCode="0.0"/>
  </numFmts>
  <fonts count="14">
    <font>
      <name val="Calibri"/>
      <family val="2"/>
      <color theme="1"/>
      <sz val="11"/>
      <scheme val="minor"/>
    </font>
    <font>
      <b val="1"/>
      <color rgb="002563EB"/>
      <sz val="14"/>
    </font>
    <font>
      <b val="1"/>
      <color rgb="00FFFFFF"/>
      <sz val="11"/>
    </font>
    <font>
      <sz val="11"/>
    </font>
    <font>
      <b val="1"/>
      <sz val="11"/>
    </font>
    <font>
      <b val="1"/>
      <color rgb="00DC2626"/>
      <sz val="14"/>
    </font>
    <font>
      <b val="1"/>
      <color rgb="002563EB"/>
      <sz val="12"/>
    </font>
    <font>
      <b val="1"/>
      <color rgb="00FFFFFF"/>
      <sz val="12"/>
    </font>
    <font>
      <b val="1"/>
      <color rgb="00D97706"/>
      <sz val="14"/>
    </font>
    <font>
      <b val="1"/>
      <color rgb="002563EB"/>
      <sz val="11"/>
    </font>
    <font>
      <i val="1"/>
      <color rgb="0064748B"/>
      <sz val="10"/>
    </font>
    <font>
      <b val="1"/>
      <color rgb="00059669"/>
      <sz val="14"/>
    </font>
    <font>
      <color rgb="0064748B"/>
      <sz val="10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2563EB"/>
        <bgColor rgb="002563EB"/>
      </patternFill>
    </fill>
    <fill>
      <patternFill patternType="solid">
        <fgColor rgb="00F8FAFC"/>
        <bgColor rgb="00F8FAFC"/>
      </patternFill>
    </fill>
    <fill>
      <patternFill patternType="solid">
        <fgColor rgb="00F1F5F9"/>
        <bgColor rgb="00F1F5F9"/>
      </patternFill>
    </fill>
    <fill>
      <patternFill patternType="solid">
        <fgColor rgb="00DC2626"/>
        <bgColor rgb="00DC2626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0" borderId="1" pivotButton="0" quotePrefix="0" xfId="0"/>
    <xf numFmtId="164" fontId="3" fillId="0" borderId="1" pivotButton="0" quotePrefix="0" xfId="0"/>
    <xf numFmtId="0" fontId="3" fillId="3" borderId="1" pivotButton="0" quotePrefix="0" xfId="0"/>
    <xf numFmtId="164" fontId="3" fillId="3" borderId="1" pivotButton="0" quotePrefix="0" xfId="0"/>
    <xf numFmtId="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4" borderId="0" pivotButton="0" quotePrefix="0" xfId="0"/>
    <xf numFmtId="0" fontId="0" fillId="4" borderId="0" pivotButton="0" quotePrefix="0" xfId="0"/>
    <xf numFmtId="0" fontId="4" fillId="0" borderId="1" pivotButton="0" quotePrefix="0" xfId="0"/>
    <xf numFmtId="164" fontId="4" fillId="0" borderId="1" pivotButton="0" quotePrefix="0" xfId="0"/>
    <xf numFmtId="0" fontId="7" fillId="5" borderId="0" pivotButton="0" quotePrefix="0" xfId="0"/>
    <xf numFmtId="164" fontId="7" fillId="5" borderId="0" pivotButton="0" quotePrefix="0" xfId="0"/>
    <xf numFmtId="0" fontId="0" fillId="5" borderId="0" pivotButton="0" quotePrefix="0" xfId="0"/>
    <xf numFmtId="0" fontId="8" fillId="0" borderId="0" pivotButton="0" quotePrefix="0" xfId="0"/>
    <xf numFmtId="10" fontId="3" fillId="0" borderId="1" pivotButton="0" quotePrefix="0" xfId="0"/>
    <xf numFmtId="10" fontId="3" fillId="3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4" fillId="3" borderId="1" pivotButton="0" quotePrefix="0" xfId="0"/>
    <xf numFmtId="164" fontId="4" fillId="3" borderId="1" pivotButton="0" quotePrefix="0" xfId="0"/>
    <xf numFmtId="165" fontId="3" fillId="0" borderId="1" pivotButton="0" quotePrefix="0" xfId="0"/>
    <xf numFmtId="165" fontId="3" fillId="3" borderId="1" pivotButton="0" quotePrefix="0" xfId="0"/>
    <xf numFmtId="0" fontId="13" fillId="4" borderId="0" pivotButton="0" quotePrefix="0" xfId="0"/>
    <xf numFmtId="164" fontId="13" fillId="4" borderId="0" pivotButton="0" quotePrefix="0" xfId="0"/>
    <xf numFmtId="166" fontId="3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563EB"/>
    <outlinePr summaryBelow="1" summaryRight="1"/>
    <pageSetUpPr/>
  </sheetPr>
  <dimension ref="A1:D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40" customWidth="1" min="4" max="4"/>
  </cols>
  <sheetData>
    <row r="1">
      <c r="A1" s="1" t="inlineStr">
        <is>
          <t>Marcus &amp; Sarah Chen — Monthly Income</t>
        </is>
      </c>
    </row>
    <row r="3">
      <c r="A3" s="2" t="inlineStr">
        <is>
          <t>Source</t>
        </is>
      </c>
      <c r="B3" s="2" t="inlineStr">
        <is>
          <t>Monthly</t>
        </is>
      </c>
      <c r="C3" s="2" t="inlineStr">
        <is>
          <t>Annual</t>
        </is>
      </c>
      <c r="D3" s="2" t="inlineStr">
        <is>
          <t>Notes</t>
        </is>
      </c>
    </row>
    <row r="4">
      <c r="A4" s="3" t="inlineStr">
        <is>
          <t>Marcus take-home</t>
        </is>
      </c>
      <c r="B4" s="4" t="n">
        <v>5420</v>
      </c>
      <c r="C4" s="4">
        <f>B4*12</f>
        <v/>
      </c>
      <c r="D4" s="3" t="inlineStr">
        <is>
          <t>Net after tax, pension, union dues</t>
        </is>
      </c>
    </row>
    <row r="5">
      <c r="A5" s="5" t="inlineStr">
        <is>
          <t>Sarah take-home</t>
        </is>
      </c>
      <c r="B5" s="6" t="n">
        <v>4010</v>
      </c>
      <c r="C5" s="6">
        <f>B5*12</f>
        <v/>
      </c>
      <c r="D5" s="5" t="inlineStr">
        <is>
          <t>Net after tax</t>
        </is>
      </c>
    </row>
    <row r="6">
      <c r="A6" s="3" t="inlineStr">
        <is>
          <t>Canada Child Benefit</t>
        </is>
      </c>
      <c r="B6" s="4" t="n">
        <v>1040</v>
      </c>
      <c r="C6" s="4">
        <f>B6*12</f>
        <v/>
      </c>
      <c r="D6" s="3" t="inlineStr">
        <is>
          <t>$520/child, 2 children</t>
        </is>
      </c>
    </row>
    <row r="7">
      <c r="A7" s="5" t="inlineStr">
        <is>
          <t>Climate Action Incentive</t>
        </is>
      </c>
      <c r="B7" s="6" t="n">
        <v>81</v>
      </c>
      <c r="C7" s="6">
        <f>B7*12</f>
        <v/>
      </c>
      <c r="D7" s="5" t="inlineStr">
        <is>
          <t>$244/quarter, averaged monthly</t>
        </is>
      </c>
    </row>
    <row r="8">
      <c r="A8" s="7" t="inlineStr">
        <is>
          <t>Total Net Income</t>
        </is>
      </c>
      <c r="B8" s="8">
        <f>SUM(B4:B7)</f>
        <v/>
      </c>
      <c r="C8" s="8">
        <f>SUM(C4:C7)</f>
        <v/>
      </c>
      <c r="D8" s="7" t="inlineStr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2626"/>
    <outlinePr summaryBelow="1" summaryRight="1"/>
    <pageSetUpPr/>
  </sheetPr>
  <dimension ref="A1:C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5" customWidth="1" min="1" max="1"/>
    <col width="15" customWidth="1" min="2" max="2"/>
    <col width="40" customWidth="1" min="3" max="3"/>
  </cols>
  <sheetData>
    <row r="1">
      <c r="A1" s="9" t="inlineStr">
        <is>
          <t>Marcus &amp; Sarah Chen — Monthly Expenses</t>
        </is>
      </c>
    </row>
    <row r="3">
      <c r="A3" s="10" t="inlineStr">
        <is>
          <t>FIXED EXPENSES</t>
        </is>
      </c>
      <c r="B3" s="11" t="inlineStr"/>
      <c r="C3" s="11" t="inlineStr"/>
    </row>
    <row r="4">
      <c r="A4" s="2" t="inlineStr">
        <is>
          <t>Category</t>
        </is>
      </c>
      <c r="B4" s="2" t="inlineStr">
        <is>
          <t>Amount</t>
        </is>
      </c>
      <c r="C4" s="2" t="inlineStr">
        <is>
          <t>Notes</t>
        </is>
      </c>
    </row>
    <row r="5">
      <c r="A5" s="3" t="inlineStr">
        <is>
          <t>Mortgage</t>
        </is>
      </c>
      <c r="B5" s="4" t="n">
        <v>2340</v>
      </c>
      <c r="C5" s="3" t="inlineStr">
        <is>
          <t>4.89% fixed, renews June 2026</t>
        </is>
      </c>
    </row>
    <row r="6">
      <c r="A6" s="5" t="inlineStr">
        <is>
          <t>Property tax</t>
        </is>
      </c>
      <c r="B6" s="6" t="n">
        <v>375</v>
      </c>
      <c r="C6" s="5" t="inlineStr">
        <is>
          <t>$4,500/year, paid monthly</t>
        </is>
      </c>
    </row>
    <row r="7">
      <c r="A7" s="3" t="inlineStr">
        <is>
          <t>Home insurance</t>
        </is>
      </c>
      <c r="B7" s="4" t="n">
        <v>142</v>
      </c>
      <c r="C7" s="3" t="inlineStr">
        <is>
          <t>$1,700/year</t>
        </is>
      </c>
    </row>
    <row r="8">
      <c r="A8" s="5" t="inlineStr">
        <is>
          <t>Car loan (CR-V)</t>
        </is>
      </c>
      <c r="B8" s="6" t="n">
        <v>420</v>
      </c>
      <c r="C8" s="5" t="inlineStr">
        <is>
          <t>6.49%, 36 months remaining</t>
        </is>
      </c>
    </row>
    <row r="9">
      <c r="A9" s="3" t="inlineStr">
        <is>
          <t>Auto insurance (2 vehicles)</t>
        </is>
      </c>
      <c r="B9" s="4" t="n">
        <v>385</v>
      </c>
      <c r="C9" s="3" t="inlineStr">
        <is>
          <t>$230 CR-V + $155 Corolla</t>
        </is>
      </c>
    </row>
    <row r="10">
      <c r="A10" s="5" t="inlineStr">
        <is>
          <t>Gas / fuel</t>
        </is>
      </c>
      <c r="B10" s="6" t="n">
        <v>340</v>
      </c>
      <c r="C10" s="5" t="inlineStr">
        <is>
          <t>Two cars, Marcus commutes 25 min</t>
        </is>
      </c>
    </row>
    <row r="11">
      <c r="A11" s="3" t="inlineStr">
        <is>
          <t>Credit card minimum</t>
        </is>
      </c>
      <c r="B11" s="4" t="n">
        <v>126</v>
      </c>
      <c r="C11" s="3" t="inlineStr">
        <is>
          <t>TD Visa, 20.99%</t>
        </is>
      </c>
    </row>
    <row r="12">
      <c r="A12" s="5" t="inlineStr">
        <is>
          <t>Student loan (Sarah)</t>
        </is>
      </c>
      <c r="B12" s="6" t="n">
        <v>180</v>
      </c>
      <c r="C12" s="5" t="inlineStr">
        <is>
          <t>Federal, floating rate ~5.45%</t>
        </is>
      </c>
    </row>
    <row r="13">
      <c r="A13" s="3" t="inlineStr">
        <is>
          <t>Childcare (Lily)</t>
        </is>
      </c>
      <c r="B13" s="4" t="n">
        <v>680</v>
      </c>
      <c r="C13" s="3" t="inlineStr">
        <is>
          <t>Before/after school care, JK</t>
        </is>
      </c>
    </row>
    <row r="14">
      <c r="A14" s="5" t="inlineStr">
        <is>
          <t>Childcare (Owen)</t>
        </is>
      </c>
      <c r="B14" s="6" t="n">
        <v>1100</v>
      </c>
      <c r="C14" s="5" t="inlineStr">
        <is>
          <t>Licensed home daycare</t>
        </is>
      </c>
    </row>
    <row r="15">
      <c r="A15" s="3" t="inlineStr">
        <is>
          <t>Phone (2 lines)</t>
        </is>
      </c>
      <c r="B15" s="4" t="n">
        <v>145</v>
      </c>
      <c r="C15" s="3" t="inlineStr">
        <is>
          <t>Marcus $80, Sarah $65</t>
        </is>
      </c>
    </row>
    <row r="16">
      <c r="A16" s="5" t="inlineStr">
        <is>
          <t>Internet</t>
        </is>
      </c>
      <c r="B16" s="6" t="n">
        <v>85</v>
      </c>
      <c r="C16" s="5" t="inlineStr">
        <is>
          <t>Rogers, 500 Mbps</t>
        </is>
      </c>
    </row>
    <row r="17">
      <c r="A17" s="3" t="inlineStr">
        <is>
          <t>Streaming services</t>
        </is>
      </c>
      <c r="B17" s="4" t="n">
        <v>62</v>
      </c>
      <c r="C17" s="3" t="inlineStr">
        <is>
          <t>Netflix, Disney+, Spotify, Crave</t>
        </is>
      </c>
    </row>
    <row r="18">
      <c r="A18" s="5" t="inlineStr">
        <is>
          <t>Marcus union dues</t>
        </is>
      </c>
      <c r="B18" s="6" t="n">
        <v>87</v>
      </c>
      <c r="C18" s="5" t="inlineStr">
        <is>
          <t>OPSEU</t>
        </is>
      </c>
    </row>
    <row r="19">
      <c r="A19" s="3" t="inlineStr">
        <is>
          <t>RESP — Lily</t>
        </is>
      </c>
      <c r="B19" s="4" t="n">
        <v>208</v>
      </c>
      <c r="C19" s="3" t="inlineStr">
        <is>
          <t>$2,500/year for full CESG</t>
        </is>
      </c>
    </row>
    <row r="20">
      <c r="A20" s="5" t="inlineStr">
        <is>
          <t>RESP — Owen</t>
        </is>
      </c>
      <c r="B20" s="6" t="n">
        <v>104</v>
      </c>
      <c r="C20" s="5" t="inlineStr">
        <is>
          <t>$1,250/year — partial CESG</t>
        </is>
      </c>
    </row>
    <row r="21">
      <c r="A21" s="3" t="inlineStr">
        <is>
          <t>Life / disability insurance</t>
        </is>
      </c>
      <c r="B21" s="4" t="n">
        <v>0</v>
      </c>
      <c r="C21" s="3" t="inlineStr">
        <is>
          <t>None — flagged as gap</t>
        </is>
      </c>
    </row>
    <row r="22">
      <c r="A22" s="12" t="inlineStr">
        <is>
          <t>Subtotal — Fixed</t>
        </is>
      </c>
      <c r="B22" s="13">
        <f>SUM(B5:B21)</f>
        <v/>
      </c>
      <c r="C22" s="12" t="inlineStr"/>
    </row>
    <row r="24">
      <c r="A24" s="10" t="inlineStr">
        <is>
          <t>VARIABLE EXPENSES</t>
        </is>
      </c>
      <c r="B24" s="11" t="inlineStr"/>
      <c r="C24" s="11" t="inlineStr"/>
    </row>
    <row r="25">
      <c r="A25" s="2" t="inlineStr">
        <is>
          <t>Category</t>
        </is>
      </c>
      <c r="B25" s="2" t="inlineStr">
        <is>
          <t>Amount</t>
        </is>
      </c>
      <c r="C25" s="2" t="inlineStr">
        <is>
          <t>Notes</t>
        </is>
      </c>
    </row>
    <row r="26">
      <c r="A26" s="3" t="inlineStr">
        <is>
          <t>Groceries</t>
        </is>
      </c>
      <c r="B26" s="4" t="n">
        <v>950</v>
      </c>
      <c r="C26" s="3" t="inlineStr">
        <is>
          <t>Family of 4, Barrie prices</t>
        </is>
      </c>
    </row>
    <row r="27">
      <c r="A27" s="5" t="inlineStr">
        <is>
          <t>Dining out / takeout</t>
        </is>
      </c>
      <c r="B27" s="6" t="n">
        <v>380</v>
      </c>
      <c r="C27" s="5" t="inlineStr">
        <is>
          <t>Includes Friday pizza night</t>
        </is>
      </c>
    </row>
    <row r="28">
      <c r="A28" s="3" t="inlineStr">
        <is>
          <t>Coffee (Marcus)</t>
        </is>
      </c>
      <c r="B28" s="4" t="n">
        <v>110</v>
      </c>
      <c r="C28" s="3" t="inlineStr">
        <is>
          <t>~$5/workday</t>
        </is>
      </c>
    </row>
    <row r="29">
      <c r="A29" s="5" t="inlineStr">
        <is>
          <t>Utilities (hydro + gas + water)</t>
        </is>
      </c>
      <c r="B29" s="6" t="n">
        <v>285</v>
      </c>
      <c r="C29" s="5" t="inlineStr">
        <is>
          <t>Averaged across seasons</t>
        </is>
      </c>
    </row>
    <row r="30">
      <c r="A30" s="3" t="inlineStr">
        <is>
          <t>Clothing &amp; personal care</t>
        </is>
      </c>
      <c r="B30" s="4" t="n">
        <v>180</v>
      </c>
      <c r="C30" s="3" t="inlineStr">
        <is>
          <t>Kids grow fast</t>
        </is>
      </c>
    </row>
    <row r="31">
      <c r="A31" s="5" t="inlineStr">
        <is>
          <t>Kids' activities</t>
        </is>
      </c>
      <c r="B31" s="6" t="n">
        <v>120</v>
      </c>
      <c r="C31" s="5" t="inlineStr">
        <is>
          <t>Lily swimming $80, misc $40</t>
        </is>
      </c>
    </row>
    <row r="32">
      <c r="A32" s="3" t="inlineStr">
        <is>
          <t>Household supplies</t>
        </is>
      </c>
      <c r="B32" s="4" t="n">
        <v>95</v>
      </c>
      <c r="C32" s="3" t="inlineStr">
        <is>
          <t>Cleaning, toiletries</t>
        </is>
      </c>
    </row>
    <row r="33">
      <c r="A33" s="5" t="inlineStr">
        <is>
          <t>Health expenses (out of pocket)</t>
        </is>
      </c>
      <c r="B33" s="6" t="n">
        <v>160</v>
      </c>
      <c r="C33" s="5" t="inlineStr">
        <is>
          <t>Sarah massage $80 × 2/month</t>
        </is>
      </c>
    </row>
    <row r="34">
      <c r="A34" s="3" t="inlineStr">
        <is>
          <t>Gifts &amp; donations</t>
        </is>
      </c>
      <c r="B34" s="4" t="n">
        <v>75</v>
      </c>
      <c r="C34" s="3" t="inlineStr">
        <is>
          <t>Averaged</t>
        </is>
      </c>
    </row>
    <row r="35">
      <c r="A35" s="5" t="inlineStr">
        <is>
          <t>Entertainment &amp; hobbies</t>
        </is>
      </c>
      <c r="B35" s="6" t="n">
        <v>90</v>
      </c>
      <c r="C35" s="5" t="inlineStr">
        <is>
          <t>Gaming sub, family outings</t>
        </is>
      </c>
    </row>
    <row r="36">
      <c r="A36" s="3" t="inlineStr">
        <is>
          <t>Personal spending / fun money</t>
        </is>
      </c>
      <c r="B36" s="4" t="n">
        <v>200</v>
      </c>
      <c r="C36" s="3" t="inlineStr">
        <is>
          <t>$100 each</t>
        </is>
      </c>
    </row>
    <row r="37">
      <c r="A37" s="5" t="inlineStr">
        <is>
          <t>Alcohol / cannabis</t>
        </is>
      </c>
      <c r="B37" s="6" t="n">
        <v>60</v>
      </c>
      <c r="C37" s="5" t="inlineStr">
        <is>
          <t>Occasional wine/beer</t>
        </is>
      </c>
    </row>
    <row r="38">
      <c r="A38" s="3" t="inlineStr">
        <is>
          <t>Amazon / online shopping</t>
        </is>
      </c>
      <c r="B38" s="4" t="n">
        <v>120</v>
      </c>
      <c r="C38" s="3" t="inlineStr">
        <is>
          <t>Impulse buys</t>
        </is>
      </c>
    </row>
    <row r="39">
      <c r="A39" s="12" t="inlineStr">
        <is>
          <t>Subtotal — Variable</t>
        </is>
      </c>
      <c r="B39" s="13">
        <f>SUM(B26:B38)</f>
        <v/>
      </c>
      <c r="C39" s="12" t="inlineStr"/>
    </row>
    <row r="41">
      <c r="A41" s="10" t="inlineStr">
        <is>
          <t>IRREGULAR / ANNUAL EXPENSES</t>
        </is>
      </c>
      <c r="B41" s="11" t="inlineStr"/>
      <c r="C41" s="11" t="inlineStr"/>
    </row>
    <row r="42">
      <c r="A42" s="2" t="inlineStr">
        <is>
          <t>Category</t>
        </is>
      </c>
      <c r="B42" s="2" t="inlineStr">
        <is>
          <t>Monthly Avg</t>
        </is>
      </c>
      <c r="C42" s="2" t="inlineStr">
        <is>
          <t>Annual</t>
        </is>
      </c>
    </row>
    <row r="43">
      <c r="A43" s="3" t="inlineStr">
        <is>
          <t>Vehicle maintenance / tires</t>
        </is>
      </c>
      <c r="B43" s="4" t="n">
        <v>150</v>
      </c>
      <c r="C43" s="4" t="n">
        <v>1800</v>
      </c>
    </row>
    <row r="44">
      <c r="A44" s="5" t="inlineStr">
        <is>
          <t>Holiday spending (Christmas)</t>
        </is>
      </c>
      <c r="B44" s="6" t="n">
        <v>125</v>
      </c>
      <c r="C44" s="6" t="n">
        <v>1500</v>
      </c>
    </row>
    <row r="45">
      <c r="A45" s="3" t="inlineStr">
        <is>
          <t>Birthday gifts</t>
        </is>
      </c>
      <c r="B45" s="4" t="n">
        <v>50</v>
      </c>
      <c r="C45" s="4" t="n">
        <v>600</v>
      </c>
    </row>
    <row r="46">
      <c r="A46" s="5" t="inlineStr">
        <is>
          <t>Back-to-school (Lily)</t>
        </is>
      </c>
      <c r="B46" s="6" t="n">
        <v>25</v>
      </c>
      <c r="C46" s="6" t="n">
        <v>300</v>
      </c>
    </row>
    <row r="47">
      <c r="A47" s="3" t="inlineStr">
        <is>
          <t>Summer camp (Lily)</t>
        </is>
      </c>
      <c r="B47" s="4" t="n">
        <v>100</v>
      </c>
      <c r="C47" s="4" t="n">
        <v>1200</v>
      </c>
    </row>
    <row r="48">
      <c r="A48" s="5" t="inlineStr">
        <is>
          <t>Home maintenance / repairs</t>
        </is>
      </c>
      <c r="B48" s="6" t="n">
        <v>100</v>
      </c>
      <c r="C48" s="6" t="n">
        <v>1200</v>
      </c>
    </row>
    <row r="49">
      <c r="A49" s="3" t="inlineStr">
        <is>
          <t>Family vacation (camping)</t>
        </is>
      </c>
      <c r="B49" s="4" t="n">
        <v>167</v>
      </c>
      <c r="C49" s="4" t="n">
        <v>2000</v>
      </c>
    </row>
    <row r="50">
      <c r="A50" s="5" t="inlineStr">
        <is>
          <t>Tax prep (TurboTax)</t>
        </is>
      </c>
      <c r="B50" s="6" t="n">
        <v>4</v>
      </c>
      <c r="C50" s="6" t="n">
        <v>50</v>
      </c>
    </row>
    <row r="51">
      <c r="A51" s="12" t="inlineStr">
        <is>
          <t>Subtotal — Irregular</t>
        </is>
      </c>
      <c r="B51" s="13">
        <f>SUM(B43:B50)</f>
        <v/>
      </c>
      <c r="C51" s="13">
        <f>SUM(C43:C50)</f>
        <v/>
      </c>
    </row>
    <row r="53">
      <c r="A53" s="14" t="inlineStr">
        <is>
          <t>TOTAL MONTHLY EXPENSES</t>
        </is>
      </c>
      <c r="B53" s="15">
        <f>B22+B39+B51</f>
        <v/>
      </c>
      <c r="C53" s="16" t="inlineStr"/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D97706"/>
    <outlinePr summaryBelow="1" summaryRight="1"/>
    <pageSetUpPr/>
  </sheetPr>
  <dimension ref="A1:F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8" customWidth="1" min="4" max="4"/>
    <col width="18" customWidth="1" min="5" max="5"/>
    <col width="20" customWidth="1" min="6" max="6"/>
  </cols>
  <sheetData>
    <row r="1">
      <c r="A1" s="17" t="inlineStr">
        <is>
          <t>Marcus &amp; Sarah Chen — Debt Payoff Plan</t>
        </is>
      </c>
    </row>
    <row r="3">
      <c r="A3" s="2" t="inlineStr">
        <is>
          <t>Debt</t>
        </is>
      </c>
      <c r="B3" s="2" t="inlineStr">
        <is>
          <t>Balance</t>
        </is>
      </c>
      <c r="C3" s="2" t="inlineStr">
        <is>
          <t>Interest Rate</t>
        </is>
      </c>
      <c r="D3" s="2" t="inlineStr">
        <is>
          <t>Monthly Payment</t>
        </is>
      </c>
      <c r="E3" s="2" t="inlineStr">
        <is>
          <t>Monthly Interest</t>
        </is>
      </c>
      <c r="F3" s="2" t="inlineStr">
        <is>
          <t>Payoff Target</t>
        </is>
      </c>
    </row>
    <row r="4">
      <c r="A4" s="3" t="inlineStr">
        <is>
          <t>TD Visa (Sarah)</t>
        </is>
      </c>
      <c r="B4" s="4" t="n">
        <v>4200</v>
      </c>
      <c r="C4" s="18" t="n">
        <v>0.2099</v>
      </c>
      <c r="D4" s="4" t="n">
        <v>321</v>
      </c>
      <c r="E4" s="4">
        <f>B4*C4/12</f>
        <v/>
      </c>
      <c r="F4" s="3" t="inlineStr">
        <is>
          <t>October 2026</t>
        </is>
      </c>
    </row>
    <row r="5">
      <c r="A5" s="5" t="inlineStr">
        <is>
          <t>Car loan (CR-V)</t>
        </is>
      </c>
      <c r="B5" s="6" t="n">
        <v>18400</v>
      </c>
      <c r="C5" s="19" t="n">
        <v>0.0649</v>
      </c>
      <c r="D5" s="6" t="n">
        <v>420</v>
      </c>
      <c r="E5" s="6">
        <f>B5*C5/12</f>
        <v/>
      </c>
      <c r="F5" s="5" t="inlineStr">
        <is>
          <t>April 2028</t>
        </is>
      </c>
    </row>
    <row r="6">
      <c r="A6" s="3" t="inlineStr">
        <is>
          <t>Student loan (Sarah)</t>
        </is>
      </c>
      <c r="B6" s="4" t="n">
        <v>8900</v>
      </c>
      <c r="C6" s="18" t="n">
        <v>0.0545</v>
      </c>
      <c r="D6" s="4" t="n">
        <v>180</v>
      </c>
      <c r="E6" s="4">
        <f>B6*C6/12</f>
        <v/>
      </c>
      <c r="F6" s="3" t="inlineStr">
        <is>
          <t>May 2028</t>
        </is>
      </c>
    </row>
    <row r="7">
      <c r="A7" s="12" t="inlineStr">
        <is>
          <t>Total Consumer Debt</t>
        </is>
      </c>
      <c r="B7" s="13">
        <f>SUM(B4:B6)</f>
        <v/>
      </c>
      <c r="C7" s="12" t="inlineStr"/>
      <c r="D7" s="13">
        <f>SUM(D4:D6)</f>
        <v/>
      </c>
      <c r="E7" s="13">
        <f>SUM(E4:E6)</f>
        <v/>
      </c>
      <c r="F7" s="12" t="inlineStr"/>
    </row>
    <row r="9">
      <c r="A9" s="20" t="inlineStr">
        <is>
          <t>MORTGAGE (separate from consumer debt)</t>
        </is>
      </c>
      <c r="B9" t="inlineStr"/>
      <c r="C9" t="inlineStr"/>
      <c r="D9" t="inlineStr"/>
      <c r="E9" t="inlineStr"/>
      <c r="F9" t="inlineStr"/>
    </row>
    <row r="10">
      <c r="A10" s="3" t="inlineStr">
        <is>
          <t>Mortgage</t>
        </is>
      </c>
      <c r="B10" s="4" t="n">
        <v>412000</v>
      </c>
      <c r="C10" s="18" t="n">
        <v>0.0489</v>
      </c>
      <c r="D10" s="4" t="n">
        <v>2340</v>
      </c>
      <c r="E10" s="4">
        <f>B10*C10/12</f>
        <v/>
      </c>
      <c r="F10" s="3" t="inlineStr">
        <is>
          <t>Renews June 2026</t>
        </is>
      </c>
    </row>
    <row r="12">
      <c r="A12" s="21" t="inlineStr">
        <is>
          <t>Debt Payoff Strategy: Avalanche method (highest interest first)</t>
        </is>
      </c>
    </row>
    <row r="13">
      <c r="A13" s="21" t="inlineStr">
        <is>
          <t>1. Kill TD Visa ($4,200 at 20.99%) by Oct 2026 — redirect $321/mo to car loan</t>
        </is>
      </c>
    </row>
    <row r="14">
      <c r="A14" s="21" t="inlineStr">
        <is>
          <t>2. Accelerate car loan payoff — extra $321/mo brings it to Apr 2028</t>
        </is>
      </c>
    </row>
    <row r="15">
      <c r="A15" s="21" t="inlineStr">
        <is>
          <t>3. Student loan paid off concurrently by May 2028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59669"/>
    <outlinePr summaryBelow="1" summaryRight="1"/>
    <pageSetUpPr/>
  </sheetPr>
  <dimension ref="A1:C4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20" customWidth="1" min="2" max="2"/>
    <col width="35" customWidth="1" min="3" max="3"/>
  </cols>
  <sheetData>
    <row r="1">
      <c r="A1" s="22" t="inlineStr">
        <is>
          <t>Marcus &amp; Sarah Chen — Financial Summary</t>
        </is>
      </c>
    </row>
    <row r="2">
      <c r="A2" s="23" t="inlineStr">
        <is>
          <t>As of March 15, 2026</t>
        </is>
      </c>
    </row>
    <row r="4">
      <c r="A4" s="10" t="inlineStr">
        <is>
          <t>MONTHLY CASH FLOW</t>
        </is>
      </c>
      <c r="B4" s="11" t="inlineStr"/>
      <c r="C4" s="11" t="inlineStr"/>
    </row>
    <row r="5">
      <c r="A5" s="2" t="inlineStr">
        <is>
          <t>Metric</t>
        </is>
      </c>
      <c r="B5" s="2" t="inlineStr">
        <is>
          <t>Amount</t>
        </is>
      </c>
      <c r="C5" s="2" t="inlineStr">
        <is>
          <t>Notes</t>
        </is>
      </c>
    </row>
    <row r="6">
      <c r="A6" s="5" t="inlineStr">
        <is>
          <t>Total Net Income</t>
        </is>
      </c>
      <c r="B6" s="6">
        <f>Income!B8</f>
        <v/>
      </c>
      <c r="C6" s="5" t="inlineStr"/>
    </row>
    <row r="7">
      <c r="A7" s="3" t="inlineStr">
        <is>
          <t>Total Expenses</t>
        </is>
      </c>
      <c r="B7" s="4">
        <f>Expenses!B53</f>
        <v/>
      </c>
      <c r="C7" s="3" t="inlineStr"/>
    </row>
    <row r="8">
      <c r="A8" s="24" t="inlineStr">
        <is>
          <t>Monthly Surplus</t>
        </is>
      </c>
      <c r="B8" s="25">
        <f>B6-B7</f>
        <v/>
      </c>
      <c r="C8" s="24" t="inlineStr"/>
    </row>
    <row r="9">
      <c r="A9" s="3" t="inlineStr">
        <is>
          <t>Savings Rate</t>
        </is>
      </c>
      <c r="B9" s="26">
        <f>B8/B6</f>
        <v/>
      </c>
      <c r="C9" s="3" t="inlineStr">
        <is>
          <t>Target: 15-20%</t>
        </is>
      </c>
    </row>
    <row r="11">
      <c r="A11" s="10" t="inlineStr">
        <is>
          <t>KEY RATIOS</t>
        </is>
      </c>
      <c r="B11" s="11" t="inlineStr"/>
      <c r="C11" s="11" t="inlineStr"/>
    </row>
    <row r="12">
      <c r="A12" s="2" t="inlineStr">
        <is>
          <t>Ratio</t>
        </is>
      </c>
      <c r="B12" s="2" t="inlineStr">
        <is>
          <t>Current</t>
        </is>
      </c>
      <c r="C12" s="2" t="inlineStr">
        <is>
          <t>Target</t>
        </is>
      </c>
    </row>
    <row r="13">
      <c r="A13" s="5" t="inlineStr">
        <is>
          <t>Housing (GDS)</t>
        </is>
      </c>
      <c r="B13" s="27" t="n">
        <v>0.287</v>
      </c>
      <c r="C13" s="5" t="inlineStr">
        <is>
          <t>&lt;32%</t>
        </is>
      </c>
    </row>
    <row r="14">
      <c r="A14" s="3" t="inlineStr">
        <is>
          <t>Total Debt Service (TDS)</t>
        </is>
      </c>
      <c r="B14" s="26" t="n">
        <v>0.362</v>
      </c>
      <c r="C14" s="3" t="inlineStr">
        <is>
          <t>&lt;40%</t>
        </is>
      </c>
    </row>
    <row r="15">
      <c r="A15" s="5" t="inlineStr">
        <is>
          <t>Needs / Wants / Savings</t>
        </is>
      </c>
      <c r="B15" s="5" t="inlineStr">
        <is>
          <t>73% / 25% / 2%</t>
        </is>
      </c>
      <c r="C15" s="5" t="inlineStr">
        <is>
          <t>50% / 30% / 20%</t>
        </is>
      </c>
    </row>
    <row r="17">
      <c r="A17" s="10" t="inlineStr">
        <is>
          <t>NET WORTH</t>
        </is>
      </c>
      <c r="B17" s="11" t="inlineStr"/>
      <c r="C17" s="11" t="inlineStr"/>
    </row>
    <row r="18">
      <c r="A18" s="2" t="inlineStr">
        <is>
          <t>Component</t>
        </is>
      </c>
      <c r="B18" s="2" t="inlineStr">
        <is>
          <t>Value</t>
        </is>
      </c>
      <c r="C18" s="2" t="inlineStr"/>
    </row>
    <row r="19">
      <c r="A19" s="3" t="inlineStr">
        <is>
          <t>Liquid cash</t>
        </is>
      </c>
      <c r="B19" s="4" t="n">
        <v>11400</v>
      </c>
      <c r="C19" s="3" t="inlineStr"/>
    </row>
    <row r="20">
      <c r="A20" s="5" t="inlineStr">
        <is>
          <t>Registered accounts (RRSP + TFSA + RESP)</t>
        </is>
      </c>
      <c r="B20" s="6" t="n">
        <v>34600</v>
      </c>
      <c r="C20" s="5" t="inlineStr"/>
    </row>
    <row r="21">
      <c r="A21" s="3" t="inlineStr">
        <is>
          <t>Home equity</t>
        </is>
      </c>
      <c r="B21" s="4" t="n">
        <v>123000</v>
      </c>
      <c r="C21" s="3" t="inlineStr"/>
    </row>
    <row r="22">
      <c r="A22" s="5" t="inlineStr">
        <is>
          <t>Vehicles</t>
        </is>
      </c>
      <c r="B22" s="6" t="n">
        <v>40000</v>
      </c>
      <c r="C22" s="5" t="inlineStr"/>
    </row>
    <row r="23">
      <c r="A23" s="12" t="inlineStr">
        <is>
          <t>Total Assets</t>
        </is>
      </c>
      <c r="B23" s="13">
        <f>SUM(B19:B22)</f>
        <v/>
      </c>
      <c r="C23" s="12" t="inlineStr"/>
    </row>
    <row r="24">
      <c r="A24" s="3" t="inlineStr">
        <is>
          <t>Mortgage</t>
        </is>
      </c>
      <c r="B24" s="4" t="n">
        <v>-412000</v>
      </c>
      <c r="C24" s="3" t="inlineStr"/>
    </row>
    <row r="25">
      <c r="A25" s="5" t="inlineStr">
        <is>
          <t>Car loan</t>
        </is>
      </c>
      <c r="B25" s="6" t="n">
        <v>-18400</v>
      </c>
      <c r="C25" s="5" t="inlineStr"/>
    </row>
    <row r="26">
      <c r="A26" s="3" t="inlineStr">
        <is>
          <t>Credit card</t>
        </is>
      </c>
      <c r="B26" s="4" t="n">
        <v>-4200</v>
      </c>
      <c r="C26" s="3" t="inlineStr"/>
    </row>
    <row r="27">
      <c r="A27" s="5" t="inlineStr">
        <is>
          <t>Student loan</t>
        </is>
      </c>
      <c r="B27" s="6" t="n">
        <v>-8900</v>
      </c>
      <c r="C27" s="5" t="inlineStr"/>
    </row>
    <row r="28">
      <c r="A28" s="12" t="inlineStr">
        <is>
          <t>Total Liabilities</t>
        </is>
      </c>
      <c r="B28" s="13">
        <f>SUM(B24:B27)</f>
        <v/>
      </c>
      <c r="C28" s="12" t="inlineStr"/>
    </row>
    <row r="29">
      <c r="A29" s="28" t="inlineStr">
        <is>
          <t>Net Worth</t>
        </is>
      </c>
      <c r="B29" s="29">
        <f>B23+B28</f>
        <v/>
      </c>
      <c r="C29" s="11" t="inlineStr"/>
    </row>
    <row r="31">
      <c r="A31" s="10" t="inlineStr">
        <is>
          <t>EMERGENCY FUND</t>
        </is>
      </c>
      <c r="B31" s="11" t="inlineStr"/>
      <c r="C31" s="11" t="inlineStr"/>
    </row>
    <row r="32">
      <c r="A32" s="2" t="inlineStr">
        <is>
          <t>Metric</t>
        </is>
      </c>
      <c r="B32" s="2" t="inlineStr">
        <is>
          <t>Value</t>
        </is>
      </c>
      <c r="C32" s="2" t="inlineStr"/>
    </row>
    <row r="33">
      <c r="A33" s="5" t="inlineStr">
        <is>
          <t>Current balance</t>
        </is>
      </c>
      <c r="B33" s="6" t="n">
        <v>6800</v>
      </c>
      <c r="C33" s="5" t="inlineStr">
        <is>
          <t>EQ Bank HISA @ 2.75%</t>
        </is>
      </c>
    </row>
    <row r="34">
      <c r="A34" s="3" t="inlineStr">
        <is>
          <t>Target (3 months expenses)</t>
        </is>
      </c>
      <c r="B34" s="4" t="n">
        <v>16500</v>
      </c>
      <c r="C34" s="3" t="inlineStr"/>
    </row>
    <row r="35">
      <c r="A35" s="5" t="inlineStr">
        <is>
          <t>Coverage</t>
        </is>
      </c>
      <c r="B35" s="30">
        <f>B33/B7</f>
        <v/>
      </c>
      <c r="C35" s="5" t="inlineStr">
        <is>
          <t>months of expenses</t>
        </is>
      </c>
    </row>
    <row r="36">
      <c r="A36" s="3" t="inlineStr">
        <is>
          <t>Progress</t>
        </is>
      </c>
      <c r="B36" s="26">
        <f>B33/B34</f>
        <v/>
      </c>
      <c r="C36" s="3" t="inlineStr"/>
    </row>
    <row r="38">
      <c r="A38" s="10" t="inlineStr">
        <is>
          <t>KEY MILESTONES</t>
        </is>
      </c>
      <c r="B38" s="11" t="inlineStr"/>
      <c r="C38" s="11" t="inlineStr"/>
    </row>
    <row r="39">
      <c r="A39" s="2" t="inlineStr">
        <is>
          <t>Milestone</t>
        </is>
      </c>
      <c r="B39" s="2" t="inlineStr">
        <is>
          <t>Target Date</t>
        </is>
      </c>
      <c r="C39" s="2" t="inlineStr">
        <is>
          <t>Notes</t>
        </is>
      </c>
    </row>
    <row r="40">
      <c r="A40" s="3" t="inlineStr">
        <is>
          <t>Credit card paid off</t>
        </is>
      </c>
      <c r="B40" s="3" t="inlineStr">
        <is>
          <t>October 2026</t>
        </is>
      </c>
      <c r="C40" s="3" t="inlineStr">
        <is>
          <t>Redirect $321/mo to car loan</t>
        </is>
      </c>
    </row>
    <row r="41">
      <c r="A41" s="5" t="inlineStr">
        <is>
          <t>Emergency fund fully funded</t>
        </is>
      </c>
      <c r="B41" s="5" t="inlineStr">
        <is>
          <t>Late 2027</t>
        </is>
      </c>
      <c r="C41" s="5" t="inlineStr">
        <is>
          <t>Target: $16,500</t>
        </is>
      </c>
    </row>
    <row r="42">
      <c r="A42" s="3" t="inlineStr">
        <is>
          <t>All consumer debt cleared</t>
        </is>
      </c>
      <c r="B42" s="3" t="inlineStr">
        <is>
          <t>May 2028</t>
        </is>
      </c>
      <c r="C42" s="3" t="inlineStr">
        <is>
          <t>Redirect $921/mo to savings</t>
        </is>
      </c>
    </row>
    <row r="43">
      <c r="A43" s="5" t="inlineStr">
        <is>
          <t>TFSA maximization begins</t>
        </is>
      </c>
      <c r="B43" s="5" t="inlineStr">
        <is>
          <t>June 2028</t>
        </is>
      </c>
      <c r="C43" s="5" t="inlineStr">
        <is>
          <t>After consumer debt cleared</t>
        </is>
      </c>
    </row>
    <row r="44">
      <c r="A44" s="3" t="inlineStr">
        <is>
          <t>Retirement target</t>
        </is>
      </c>
      <c r="B44" s="3" t="inlineStr">
        <is>
          <t>2058/2056</t>
        </is>
      </c>
      <c r="C44" s="3" t="inlineStr">
        <is>
          <t>Marcus 65 / Sarah 61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2026-03-15T13:33:30Z</dcterms:created>
  <dcterms:modified xmlns:dcterms="http://purl.org/dc/terms/" xmlns:xsi="http://www.w3.org/2001/XMLSchema-instance" xsi:type="dcterms:W3CDTF">2026-03-15T13:33:30Z</dcterms:modified>
</cp:coreProperties>
</file>