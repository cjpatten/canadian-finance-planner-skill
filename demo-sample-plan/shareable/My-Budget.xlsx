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B9E5C"/>
      </patternFill>
    </fill>
    <fill>
      <patternFill patternType="solid">
        <fgColor rgb="00EAF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3" fontId="0" fillId="0" borderId="0" pivotButton="0" quotePrefix="0" xfId="0"/>
    <xf numFmtId="0" fontId="2" fillId="3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Source</t>
        </is>
      </c>
      <c r="B1" s="1" t="inlineStr">
        <is>
          <t>Monthly ($)</t>
        </is>
      </c>
    </row>
    <row r="2">
      <c r="A2" t="inlineStr">
        <is>
          <t>Marcus take-home</t>
        </is>
      </c>
      <c r="B2" s="2" t="n">
        <v>5420</v>
      </c>
    </row>
    <row r="3">
      <c r="A3" t="inlineStr">
        <is>
          <t>Sarah take-home</t>
        </is>
      </c>
      <c r="B3" s="2" t="n">
        <v>4010</v>
      </c>
    </row>
    <row r="4">
      <c r="A4" t="inlineStr">
        <is>
          <t>Canada Child Benefit</t>
        </is>
      </c>
      <c r="B4" s="2" t="n">
        <v>1040</v>
      </c>
    </row>
    <row r="5">
      <c r="A5" t="inlineStr">
        <is>
          <t>Quarterly benefit income (avg)</t>
        </is>
      </c>
      <c r="B5" s="2" t="n">
        <v>81</v>
      </c>
    </row>
    <row r="6">
      <c r="A6" s="3" t="inlineStr">
        <is>
          <t>Total net income</t>
        </is>
      </c>
      <c r="B6" s="3">
        <f>SUM(B2:B5)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22" customWidth="1" min="3" max="3"/>
    <col width="34" customWidth="1" min="4" max="4"/>
  </cols>
  <sheetData>
    <row r="1">
      <c r="A1" s="1" t="inlineStr">
        <is>
          <t>Category</t>
        </is>
      </c>
      <c r="B1" s="1" t="inlineStr">
        <is>
          <t>Monthly ($)</t>
        </is>
      </c>
      <c r="C1" s="1" t="inlineStr">
        <is>
          <t>Type</t>
        </is>
      </c>
      <c r="D1" s="1" t="inlineStr">
        <is>
          <t>Notes</t>
        </is>
      </c>
    </row>
    <row r="2">
      <c r="A2" s="3" t="inlineStr">
        <is>
          <t>Fixed</t>
        </is>
      </c>
      <c r="B2" t="inlineStr"/>
      <c r="C2" t="inlineStr"/>
      <c r="D2" t="inlineStr"/>
    </row>
    <row r="3">
      <c r="A3" t="inlineStr">
        <is>
          <t>Mortgage</t>
        </is>
      </c>
      <c r="B3" s="2" t="n">
        <v>2340</v>
      </c>
      <c r="C3" t="inlineStr">
        <is>
          <t>Fixed</t>
        </is>
      </c>
      <c r="D3" t="inlineStr">
        <is>
          <t>4.89% fixed, renews Jun 2026</t>
        </is>
      </c>
    </row>
    <row r="4">
      <c r="A4" t="inlineStr">
        <is>
          <t>Property tax</t>
        </is>
      </c>
      <c r="B4" s="2" t="n">
        <v>375</v>
      </c>
      <c r="C4" t="inlineStr">
        <is>
          <t>Fixed</t>
        </is>
      </c>
      <c r="D4" t="inlineStr">
        <is>
          <t>$4,500/yr via mortgage</t>
        </is>
      </c>
    </row>
    <row r="5">
      <c r="A5" t="inlineStr">
        <is>
          <t>Home insurance</t>
        </is>
      </c>
      <c r="B5" s="2" t="n">
        <v>142</v>
      </c>
      <c r="C5" t="inlineStr">
        <is>
          <t>Fixed</t>
        </is>
      </c>
      <c r="D5" t="inlineStr">
        <is>
          <t>$1,700/yr</t>
        </is>
      </c>
    </row>
    <row r="6">
      <c r="A6" t="inlineStr">
        <is>
          <t>Car loan (CR-V)</t>
        </is>
      </c>
      <c r="B6" s="2" t="n">
        <v>420</v>
      </c>
      <c r="C6" t="inlineStr">
        <is>
          <t>Fixed</t>
        </is>
      </c>
      <c r="D6" t="inlineStr">
        <is>
          <t>6.49%, 36 mo left</t>
        </is>
      </c>
    </row>
    <row r="7">
      <c r="A7" t="inlineStr">
        <is>
          <t>Auto insurance (2)</t>
        </is>
      </c>
      <c r="B7" s="2" t="n">
        <v>385</v>
      </c>
      <c r="C7" t="inlineStr">
        <is>
          <t>Fixed</t>
        </is>
      </c>
      <c r="D7" t="inlineStr"/>
    </row>
    <row r="8">
      <c r="A8" t="inlineStr">
        <is>
          <t>Gas / fuel</t>
        </is>
      </c>
      <c r="B8" s="2" t="n">
        <v>340</v>
      </c>
      <c r="C8" t="inlineStr">
        <is>
          <t>Fixed</t>
        </is>
      </c>
      <c r="D8" t="inlineStr"/>
    </row>
    <row r="9">
      <c r="A9" t="inlineStr">
        <is>
          <t>Credit card minimum</t>
        </is>
      </c>
      <c r="B9" s="2" t="n">
        <v>126</v>
      </c>
      <c r="C9" t="inlineStr">
        <is>
          <t>Fixed</t>
        </is>
      </c>
      <c r="D9" t="inlineStr">
        <is>
          <t>TD Visa 20.99%</t>
        </is>
      </c>
    </row>
    <row r="10">
      <c r="A10" t="inlineStr">
        <is>
          <t>Student loan (Sarah)</t>
        </is>
      </c>
      <c r="B10" s="2" t="n">
        <v>180</v>
      </c>
      <c r="C10" t="inlineStr">
        <is>
          <t>Fixed</t>
        </is>
      </c>
      <c r="D10" t="inlineStr">
        <is>
          <t>Federal, interest-free since 2023</t>
        </is>
      </c>
    </row>
    <row r="11">
      <c r="A11" t="inlineStr">
        <is>
          <t>Childcare (Lily)</t>
        </is>
      </c>
      <c r="B11" s="2" t="n">
        <v>680</v>
      </c>
      <c r="C11" t="inlineStr">
        <is>
          <t>Fixed</t>
        </is>
      </c>
      <c r="D11" t="inlineStr"/>
    </row>
    <row r="12">
      <c r="A12" t="inlineStr">
        <is>
          <t>Childcare (Owen)</t>
        </is>
      </c>
      <c r="B12" s="2" t="n">
        <v>1100</v>
      </c>
      <c r="C12" t="inlineStr">
        <is>
          <t>Fixed</t>
        </is>
      </c>
      <c r="D12" t="inlineStr"/>
    </row>
    <row r="13">
      <c r="A13" t="inlineStr">
        <is>
          <t>Phone (2 lines)</t>
        </is>
      </c>
      <c r="B13" s="2" t="n">
        <v>145</v>
      </c>
      <c r="C13" t="inlineStr">
        <is>
          <t>Fixed</t>
        </is>
      </c>
      <c r="D13" t="inlineStr"/>
    </row>
    <row r="14">
      <c r="A14" t="inlineStr">
        <is>
          <t>Internet</t>
        </is>
      </c>
      <c r="B14" s="2" t="n">
        <v>85</v>
      </c>
      <c r="C14" t="inlineStr">
        <is>
          <t>Fixed</t>
        </is>
      </c>
      <c r="D14" t="inlineStr"/>
    </row>
    <row r="15">
      <c r="A15" t="inlineStr">
        <is>
          <t>Streaming</t>
        </is>
      </c>
      <c r="B15" s="2" t="n">
        <v>62</v>
      </c>
      <c r="C15" t="inlineStr">
        <is>
          <t>Fixed</t>
        </is>
      </c>
      <c r="D15" t="inlineStr"/>
    </row>
    <row r="16">
      <c r="A16" t="inlineStr">
        <is>
          <t>Union dues</t>
        </is>
      </c>
      <c r="B16" s="2" t="n">
        <v>87</v>
      </c>
      <c r="C16" t="inlineStr">
        <is>
          <t>Fixed</t>
        </is>
      </c>
      <c r="D16" t="inlineStr">
        <is>
          <t>OPSEU</t>
        </is>
      </c>
    </row>
    <row r="17">
      <c r="A17" t="inlineStr">
        <is>
          <t>RESP - Lily</t>
        </is>
      </c>
      <c r="B17" s="2" t="n">
        <v>208</v>
      </c>
      <c r="C17" t="inlineStr">
        <is>
          <t>Fixed</t>
        </is>
      </c>
      <c r="D17" t="inlineStr">
        <is>
          <t>full CESG</t>
        </is>
      </c>
    </row>
    <row r="18">
      <c r="A18" t="inlineStr">
        <is>
          <t>RESP - Owen</t>
        </is>
      </c>
      <c r="B18" s="2" t="n">
        <v>104</v>
      </c>
      <c r="C18" t="inlineStr">
        <is>
          <t>Fixed</t>
        </is>
      </c>
      <c r="D18" t="inlineStr">
        <is>
          <t>partial CESG</t>
        </is>
      </c>
    </row>
    <row r="19">
      <c r="A19" s="4" t="inlineStr">
        <is>
          <t>Fixed subtotal</t>
        </is>
      </c>
      <c r="B19" s="4">
        <f>SUM(B3:B18)</f>
        <v/>
      </c>
      <c r="C19" t="inlineStr"/>
      <c r="D19" t="inlineStr"/>
    </row>
    <row r="20">
      <c r="A20" s="3" t="inlineStr">
        <is>
          <t>Variable</t>
        </is>
      </c>
      <c r="B20" t="inlineStr"/>
      <c r="C20" t="inlineStr"/>
      <c r="D20" t="inlineStr"/>
    </row>
    <row r="21">
      <c r="A21" t="inlineStr">
        <is>
          <t>Groceries</t>
        </is>
      </c>
      <c r="B21" s="2" t="n">
        <v>950</v>
      </c>
      <c r="C21" t="inlineStr">
        <is>
          <t>Variable</t>
        </is>
      </c>
      <c r="D21" t="inlineStr"/>
    </row>
    <row r="22">
      <c r="A22" t="inlineStr">
        <is>
          <t>Dining out / takeout</t>
        </is>
      </c>
      <c r="B22" s="2" t="n">
        <v>380</v>
      </c>
      <c r="C22" t="inlineStr">
        <is>
          <t>Variable</t>
        </is>
      </c>
      <c r="D22" t="inlineStr"/>
    </row>
    <row r="23">
      <c r="A23" t="inlineStr">
        <is>
          <t>Coffee (Marcus)</t>
        </is>
      </c>
      <c r="B23" s="2" t="n">
        <v>110</v>
      </c>
      <c r="C23" t="inlineStr">
        <is>
          <t>Variable</t>
        </is>
      </c>
      <c r="D23" t="inlineStr"/>
    </row>
    <row r="24">
      <c r="A24" t="inlineStr">
        <is>
          <t>Utilities</t>
        </is>
      </c>
      <c r="B24" s="2" t="n">
        <v>285</v>
      </c>
      <c r="C24" t="inlineStr">
        <is>
          <t>Variable</t>
        </is>
      </c>
      <c r="D24" t="inlineStr"/>
    </row>
    <row r="25">
      <c r="A25" t="inlineStr">
        <is>
          <t>Clothing &amp; personal care</t>
        </is>
      </c>
      <c r="B25" s="2" t="n">
        <v>180</v>
      </c>
      <c r="C25" t="inlineStr">
        <is>
          <t>Variable</t>
        </is>
      </c>
      <c r="D25" t="inlineStr"/>
    </row>
    <row r="26">
      <c r="A26" t="inlineStr">
        <is>
          <t>Kids' activities</t>
        </is>
      </c>
      <c r="B26" s="2" t="n">
        <v>120</v>
      </c>
      <c r="C26" t="inlineStr">
        <is>
          <t>Variable</t>
        </is>
      </c>
      <c r="D26" t="inlineStr"/>
    </row>
    <row r="27">
      <c r="A27" t="inlineStr">
        <is>
          <t>Household supplies</t>
        </is>
      </c>
      <c r="B27" s="2" t="n">
        <v>95</v>
      </c>
      <c r="C27" t="inlineStr">
        <is>
          <t>Variable</t>
        </is>
      </c>
      <c r="D27" t="inlineStr"/>
    </row>
    <row r="28">
      <c r="A28" t="inlineStr">
        <is>
          <t>Health (out of pocket)</t>
        </is>
      </c>
      <c r="B28" s="2" t="n">
        <v>160</v>
      </c>
      <c r="C28" t="inlineStr">
        <is>
          <t>Variable</t>
        </is>
      </c>
      <c r="D28" t="inlineStr"/>
    </row>
    <row r="29">
      <c r="A29" t="inlineStr">
        <is>
          <t>Gifts &amp; donations</t>
        </is>
      </c>
      <c r="B29" s="2" t="n">
        <v>75</v>
      </c>
      <c r="C29" t="inlineStr">
        <is>
          <t>Variable</t>
        </is>
      </c>
      <c r="D29" t="inlineStr"/>
    </row>
    <row r="30">
      <c r="A30" t="inlineStr">
        <is>
          <t>Entertainment &amp; hobbies</t>
        </is>
      </c>
      <c r="B30" s="2" t="n">
        <v>90</v>
      </c>
      <c r="C30" t="inlineStr">
        <is>
          <t>Variable</t>
        </is>
      </c>
      <c r="D30" t="inlineStr"/>
    </row>
    <row r="31">
      <c r="A31" t="inlineStr">
        <is>
          <t>Personal / fun money</t>
        </is>
      </c>
      <c r="B31" s="2" t="n">
        <v>200</v>
      </c>
      <c r="C31" t="inlineStr">
        <is>
          <t>Variable</t>
        </is>
      </c>
      <c r="D31" t="inlineStr"/>
    </row>
    <row r="32">
      <c r="A32" t="inlineStr">
        <is>
          <t>Alcohol / cannabis</t>
        </is>
      </c>
      <c r="B32" s="2" t="n">
        <v>60</v>
      </c>
      <c r="C32" t="inlineStr">
        <is>
          <t>Variable</t>
        </is>
      </c>
      <c r="D32" t="inlineStr"/>
    </row>
    <row r="33">
      <c r="A33" t="inlineStr">
        <is>
          <t>Online shopping</t>
        </is>
      </c>
      <c r="B33" s="2" t="n">
        <v>120</v>
      </c>
      <c r="C33" t="inlineStr">
        <is>
          <t>Variable</t>
        </is>
      </c>
      <c r="D33" t="inlineStr"/>
    </row>
    <row r="34">
      <c r="A34" s="4" t="inlineStr">
        <is>
          <t>Variable subtotal</t>
        </is>
      </c>
      <c r="B34" s="4">
        <f>SUM(B21:B33)</f>
        <v/>
      </c>
      <c r="C34" t="inlineStr"/>
      <c r="D34" t="inlineStr"/>
    </row>
    <row r="35">
      <c r="A35" s="3" t="inlineStr">
        <is>
          <t>Irregular (monthly avg)</t>
        </is>
      </c>
      <c r="B35" t="inlineStr"/>
      <c r="C35" t="inlineStr"/>
      <c r="D35" t="inlineStr"/>
    </row>
    <row r="36">
      <c r="A36" t="inlineStr">
        <is>
          <t>Vehicle maintenance</t>
        </is>
      </c>
      <c r="B36" s="2" t="n">
        <v>150</v>
      </c>
      <c r="C36" t="inlineStr">
        <is>
          <t>Irregular (monthly avg)</t>
        </is>
      </c>
      <c r="D36" t="inlineStr">
        <is>
          <t>$1,800/yr</t>
        </is>
      </c>
    </row>
    <row r="37">
      <c r="A37" t="inlineStr">
        <is>
          <t>Holiday spending</t>
        </is>
      </c>
      <c r="B37" s="2" t="n">
        <v>125</v>
      </c>
      <c r="C37" t="inlineStr">
        <is>
          <t>Irregular (monthly avg)</t>
        </is>
      </c>
      <c r="D37" t="inlineStr">
        <is>
          <t>$1,500/yr</t>
        </is>
      </c>
    </row>
    <row r="38">
      <c r="A38" t="inlineStr">
        <is>
          <t>Birthday gifts</t>
        </is>
      </c>
      <c r="B38" s="2" t="n">
        <v>50</v>
      </c>
      <c r="C38" t="inlineStr">
        <is>
          <t>Irregular (monthly avg)</t>
        </is>
      </c>
      <c r="D38" t="inlineStr">
        <is>
          <t>$600/yr</t>
        </is>
      </c>
    </row>
    <row r="39">
      <c r="A39" t="inlineStr">
        <is>
          <t>Back-to-school</t>
        </is>
      </c>
      <c r="B39" s="2" t="n">
        <v>25</v>
      </c>
      <c r="C39" t="inlineStr">
        <is>
          <t>Irregular (monthly avg)</t>
        </is>
      </c>
      <c r="D39" t="inlineStr">
        <is>
          <t>$300/yr</t>
        </is>
      </c>
    </row>
    <row r="40">
      <c r="A40" t="inlineStr">
        <is>
          <t>Summer camp</t>
        </is>
      </c>
      <c r="B40" s="2" t="n">
        <v>100</v>
      </c>
      <c r="C40" t="inlineStr">
        <is>
          <t>Irregular (monthly avg)</t>
        </is>
      </c>
      <c r="D40" t="inlineStr">
        <is>
          <t>$1,200/yr</t>
        </is>
      </c>
    </row>
    <row r="41">
      <c r="A41" t="inlineStr">
        <is>
          <t>Home maintenance</t>
        </is>
      </c>
      <c r="B41" s="2" t="n">
        <v>100</v>
      </c>
      <c r="C41" t="inlineStr">
        <is>
          <t>Irregular (monthly avg)</t>
        </is>
      </c>
      <c r="D41" t="inlineStr">
        <is>
          <t>$1,200/yr</t>
        </is>
      </c>
    </row>
    <row r="42">
      <c r="A42" t="inlineStr">
        <is>
          <t>Family vacation</t>
        </is>
      </c>
      <c r="B42" s="2" t="n">
        <v>167</v>
      </c>
      <c r="C42" t="inlineStr">
        <is>
          <t>Irregular (monthly avg)</t>
        </is>
      </c>
      <c r="D42" t="inlineStr">
        <is>
          <t>$2,000/yr</t>
        </is>
      </c>
    </row>
    <row r="43">
      <c r="A43" t="inlineStr">
        <is>
          <t>Tax prep</t>
        </is>
      </c>
      <c r="B43" s="2" t="n">
        <v>4</v>
      </c>
      <c r="C43" t="inlineStr">
        <is>
          <t>Irregular (monthly avg)</t>
        </is>
      </c>
      <c r="D43" t="inlineStr">
        <is>
          <t>$50/yr</t>
        </is>
      </c>
    </row>
    <row r="44">
      <c r="A44" s="4" t="inlineStr">
        <is>
          <t>Irregular (monthly avg) subtotal</t>
        </is>
      </c>
      <c r="B44" s="4">
        <f>SUM(B36:B43)</f>
        <v/>
      </c>
      <c r="C44" t="inlineStr"/>
      <c r="D44" t="inlineStr"/>
    </row>
    <row r="45">
      <c r="A45" s="3" t="inlineStr">
        <is>
          <t>TOTAL EXPENSES</t>
        </is>
      </c>
      <c r="B45" s="3">
        <f>B19+B34+B44</f>
        <v/>
      </c>
      <c r="C45" t="inlineStr"/>
      <c r="D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Metric</t>
        </is>
      </c>
      <c r="B1" s="1" t="inlineStr">
        <is>
          <t>Monthly ($)</t>
        </is>
      </c>
    </row>
    <row r="2">
      <c r="A2" t="inlineStr">
        <is>
          <t>Total net income</t>
        </is>
      </c>
      <c r="B2">
        <f>Income.B6</f>
        <v/>
      </c>
    </row>
    <row r="3">
      <c r="A3" t="inlineStr">
        <is>
          <t>Total expenses</t>
        </is>
      </c>
      <c r="B3">
        <f>Expenses.B45</f>
        <v/>
      </c>
    </row>
    <row r="4">
      <c r="A4" s="4" t="inlineStr">
        <is>
          <t>Monthly surplus</t>
        </is>
      </c>
      <c r="B4" s="3">
        <f>B2-B3</f>
        <v/>
      </c>
    </row>
    <row r="5"/>
    <row r="6">
      <c r="A6" t="inlineStr">
        <is>
          <t>Savings rate (surplus / income)</t>
        </is>
      </c>
      <c r="B6" s="5">
        <f>B4/B2</f>
        <v/>
      </c>
    </row>
    <row r="7">
      <c r="A7" t="inlineStr">
        <is>
          <t>Annual surplus</t>
        </is>
      </c>
      <c r="B7">
        <f>B4*12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2026-07-14T17:11:33Z</dcterms:created>
  <dcterms:modified xmlns:dcterms="http://purl.org/dc/terms/" xmlns:xsi="http://www.w3.org/2001/XMLSchema-instance" xsi:type="dcterms:W3CDTF">2026-07-14T17:11:33Z</dcterms:modified>
</cp:coreProperties>
</file>